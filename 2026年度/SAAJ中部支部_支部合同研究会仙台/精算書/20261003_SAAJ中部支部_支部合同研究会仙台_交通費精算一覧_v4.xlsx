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精算一覧" sheetId="1" state="visible" r:id="rId3"/>
    <sheet name="集計" sheetId="2" state="visible" r:id="rId4"/>
    <sheet name="メモ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Meiryo"/>
            <family val="2"/>
          </rPr>
          <t xml:space="preserve">出典：</t>
        </r>
        <r>
          <rPr>
            <sz val="10"/>
            <rFont val="Arial"/>
            <family val="2"/>
          </rPr>
          <t xml:space="preserve">2026/09/13</t>
        </r>
        <r>
          <rPr>
            <sz val="10"/>
            <rFont val="Meiryo"/>
            <family val="2"/>
          </rPr>
          <t xml:space="preserve">・</t>
        </r>
        <r>
          <rPr>
            <sz val="10"/>
            <rFont val="Arial"/>
            <family val="2"/>
          </rPr>
          <t xml:space="preserve">10/02 </t>
        </r>
        <r>
          <rPr>
            <sz val="10"/>
            <rFont val="Meiryo"/>
            <family val="2"/>
          </rPr>
          <t xml:space="preserve">加藤メール「全体で</t>
        </r>
        <r>
          <rPr>
            <sz val="10"/>
            <rFont val="Arial"/>
            <family val="2"/>
          </rPr>
          <t xml:space="preserve">15</t>
        </r>
        <r>
          <rPr>
            <sz val="10"/>
            <rFont val="Meiryo"/>
            <family val="2"/>
          </rPr>
          <t xml:space="preserve">万円＋アルファの予算感」</t>
        </r>
      </text>
    </comment>
  </commentList>
</comments>
</file>

<file path=xl/sharedStrings.xml><?xml version="1.0" encoding="utf-8"?>
<sst xmlns="http://schemas.openxmlformats.org/spreadsheetml/2006/main" count="152" uniqueCount="104">
  <si>
    <r>
      <rPr>
        <b val="true"/>
        <sz val="14"/>
        <rFont val="Meiryo"/>
        <family val="0"/>
        <charset val="1"/>
      </rPr>
      <t xml:space="preserve">SAAJ</t>
    </r>
    <r>
      <rPr>
        <b val="true"/>
        <sz val="14"/>
        <rFont val="Meiryo"/>
        <family val="2"/>
      </rPr>
      <t xml:space="preserve">支部合同研究会</t>
    </r>
    <r>
      <rPr>
        <b val="true"/>
        <sz val="14"/>
        <rFont val="Meiryo"/>
        <family val="0"/>
        <charset val="1"/>
      </rPr>
      <t xml:space="preserve">2026</t>
    </r>
    <r>
      <rPr>
        <b val="true"/>
        <sz val="14"/>
        <rFont val="Meiryo"/>
        <family val="2"/>
      </rPr>
      <t xml:space="preserve">（仙台）交通費・宿泊費 精算一覧</t>
    </r>
  </si>
  <si>
    <r>
      <rPr>
        <sz val="9"/>
        <rFont val="Meiryo"/>
        <family val="2"/>
      </rPr>
      <t xml:space="preserve">開催：</t>
    </r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31</t>
    </r>
    <r>
      <rPr>
        <sz val="9"/>
        <rFont val="Meiryo"/>
        <family val="2"/>
      </rPr>
      <t xml:space="preserve">日（土）〜</t>
    </r>
    <r>
      <rPr>
        <sz val="9"/>
        <rFont val="Meiryo"/>
        <family val="0"/>
        <charset val="1"/>
      </rPr>
      <t xml:space="preserve">11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1</t>
    </r>
    <r>
      <rPr>
        <sz val="9"/>
        <rFont val="Meiryo"/>
        <family val="2"/>
      </rPr>
      <t xml:space="preserve">日（日）仙台市　／　作成：中部支部 会計 加藤　／　更新日：</t>
    </r>
    <r>
      <rPr>
        <sz val="9"/>
        <rFont val="Meiryo"/>
        <family val="0"/>
        <charset val="1"/>
      </rPr>
      <t xml:space="preserve">2026</t>
    </r>
    <r>
      <rPr>
        <sz val="9"/>
        <rFont val="Meiryo"/>
        <family val="2"/>
      </rPr>
      <t xml:space="preserve">年</t>
    </r>
    <r>
      <rPr>
        <sz val="9"/>
        <rFont val="Meiryo"/>
        <family val="0"/>
        <charset val="1"/>
      </rPr>
      <t xml:space="preserve">10</t>
    </r>
    <r>
      <rPr>
        <sz val="9"/>
        <rFont val="Meiryo"/>
        <family val="2"/>
      </rPr>
      <t xml:space="preserve">月</t>
    </r>
    <r>
      <rPr>
        <sz val="9"/>
        <rFont val="Meiryo"/>
        <family val="0"/>
        <charset val="1"/>
      </rPr>
      <t xml:space="preserve">3</t>
    </r>
    <r>
      <rPr>
        <sz val="9"/>
        <rFont val="Meiryo"/>
        <family val="2"/>
      </rPr>
      <t xml:space="preserve">日（</t>
    </r>
    <r>
      <rPr>
        <sz val="9"/>
        <rFont val="Meiryo"/>
        <family val="0"/>
        <charset val="1"/>
      </rPr>
      <t xml:space="preserve">v4</t>
    </r>
    <r>
      <rPr>
        <sz val="9"/>
        <rFont val="Meiryo"/>
        <family val="2"/>
      </rPr>
      <t xml:space="preserve">：精算額欄を追加）</t>
    </r>
  </si>
  <si>
    <t xml:space="preserve">見込額＝概算・見込み・予定の金額（交通費の合計に含めています）　／　精算額（緑のセル）＝領収書の実際の金額を入力してください。差額・合計は自動計算されます</t>
  </si>
  <si>
    <t xml:space="preserve">No</t>
  </si>
  <si>
    <t xml:space="preserve">氏名</t>
  </si>
  <si>
    <t xml:space="preserve">役割</t>
  </si>
  <si>
    <t xml:space="preserve">区分</t>
  </si>
  <si>
    <t xml:space="preserve">区間・内容</t>
  </si>
  <si>
    <t xml:space="preserve">利用日</t>
  </si>
  <si>
    <t xml:space="preserve">見込額（円）</t>
  </si>
  <si>
    <t xml:space="preserve">精算額（円）</t>
  </si>
  <si>
    <t xml:space="preserve">差額（円）</t>
  </si>
  <si>
    <t xml:space="preserve">状態</t>
  </si>
  <si>
    <t xml:space="preserve">領収書</t>
  </si>
  <si>
    <t xml:space="preserve">出典メール</t>
  </si>
  <si>
    <t xml:space="preserve">備考</t>
  </si>
  <si>
    <t xml:space="preserve">速水さん</t>
  </si>
  <si>
    <t xml:space="preserve">講師</t>
  </si>
  <si>
    <t xml:space="preserve">交通費</t>
  </si>
  <si>
    <t xml:space="preserve">往復（自宅⇔仙台）</t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</si>
  <si>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11/1</t>
    </r>
  </si>
  <si>
    <t xml:space="preserve">概算</t>
  </si>
  <si>
    <t xml:space="preserve">未</t>
  </si>
  <si>
    <r>
      <rPr>
        <sz val="10"/>
        <rFont val="Meiryo"/>
        <family val="0"/>
        <charset val="1"/>
      </rPr>
      <t xml:space="preserve">2026/10/02 Re: </t>
    </r>
    <r>
      <rPr>
        <sz val="10"/>
        <rFont val="Meiryo"/>
        <family val="2"/>
      </rPr>
      <t xml:space="preserve">仙台での合同研究会への補助について</t>
    </r>
  </si>
  <si>
    <t xml:space="preserve">ご本人より「ほぼ確定」との連絡。全額補助</t>
  </si>
  <si>
    <t xml:space="preserve">宿泊費</t>
  </si>
  <si>
    <r>
      <rPr>
        <sz val="10"/>
        <rFont val="Meiryo"/>
        <family val="2"/>
      </rPr>
      <t xml:space="preserve">仙台市内 </t>
    </r>
    <r>
      <rPr>
        <sz val="10"/>
        <rFont val="Meiryo"/>
        <family val="0"/>
        <charset val="1"/>
      </rPr>
      <t xml:space="preserve">1</t>
    </r>
    <r>
      <rPr>
        <sz val="10"/>
        <rFont val="Meiryo"/>
        <family val="2"/>
      </rPr>
      <t xml:space="preserve">泊</t>
    </r>
  </si>
  <si>
    <t xml:space="preserve">10/31</t>
  </si>
  <si>
    <t xml:space="preserve">手土産代</t>
  </si>
  <si>
    <t xml:space="preserve">手土産（加藤が手配）</t>
  </si>
  <si>
    <t xml:space="preserve">予定</t>
  </si>
  <si>
    <r>
      <rPr>
        <sz val="10"/>
        <rFont val="Meiryo"/>
        <family val="2"/>
      </rPr>
      <t xml:space="preserve">速水さんより加藤へ一任。</t>
    </r>
    <r>
      <rPr>
        <sz val="10"/>
        <rFont val="Meiryo"/>
        <family val="0"/>
        <charset val="1"/>
      </rPr>
      <t xml:space="preserve">2,000</t>
    </r>
    <r>
      <rPr>
        <sz val="10"/>
        <rFont val="Meiryo"/>
        <family val="2"/>
      </rPr>
      <t xml:space="preserve">円程度を予定（加藤申告 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）。</t>
    </r>
    <r>
      <rPr>
        <sz val="10"/>
        <rFont val="Meiryo"/>
        <family val="0"/>
        <charset val="1"/>
      </rPr>
      <t xml:space="preserve">9/14</t>
    </r>
    <r>
      <rPr>
        <sz val="10"/>
        <rFont val="Meiryo"/>
        <family val="2"/>
      </rPr>
      <t xml:space="preserve">浅野支部長・加藤にて補助了承済み</t>
    </r>
  </si>
  <si>
    <t xml:space="preserve">栗山さん</t>
  </si>
  <si>
    <t xml:space="preserve">参加</t>
  </si>
  <si>
    <t xml:space="preserve">新幹線 東京⇔仙台 往復（はやぶさ指定席）</t>
  </si>
  <si>
    <r>
      <rPr>
        <sz val="10"/>
        <rFont val="Meiryo"/>
        <family val="0"/>
        <charset val="1"/>
      </rPr>
      <t xml:space="preserve">2026/09/26 </t>
    </r>
    <r>
      <rPr>
        <sz val="10"/>
        <rFont val="Meiryo"/>
        <family val="2"/>
      </rPr>
      <t xml:space="preserve">参加希望</t>
    </r>
    <r>
      <rPr>
        <sz val="10"/>
        <rFont val="Meiryo"/>
        <family val="0"/>
        <charset val="1"/>
      </rPr>
      <t xml:space="preserve">(</t>
    </r>
    <r>
      <rPr>
        <sz val="10"/>
        <rFont val="Meiryo"/>
        <family val="2"/>
      </rPr>
      <t xml:space="preserve">栗山</t>
    </r>
    <r>
      <rPr>
        <sz val="10"/>
        <rFont val="Meiryo"/>
        <family val="0"/>
        <charset val="1"/>
      </rPr>
      <t xml:space="preserve">)</t>
    </r>
    <r>
      <rPr>
        <sz val="10"/>
        <rFont val="Meiryo"/>
        <family val="2"/>
      </rPr>
      <t xml:space="preserve">／</t>
    </r>
    <r>
      <rPr>
        <sz val="10"/>
        <rFont val="Meiryo"/>
        <family val="0"/>
        <charset val="1"/>
      </rPr>
      <t xml:space="preserve">2026/10/02 Re: </t>
    </r>
    <r>
      <rPr>
        <sz val="10"/>
        <rFont val="Meiryo"/>
        <family val="2"/>
      </rPr>
      <t xml:space="preserve">仙台での合同研究会への補助について</t>
    </r>
  </si>
  <si>
    <r>
      <rPr>
        <sz val="10"/>
        <rFont val="Meiryo"/>
        <family val="2"/>
      </rPr>
      <t xml:space="preserve">名古屋⇔東京は会社負担のため補助対象外。片道</t>
    </r>
    <r>
      <rPr>
        <sz val="10"/>
        <rFont val="Meiryo"/>
        <family val="0"/>
        <charset val="1"/>
      </rPr>
      <t xml:space="preserve">11,630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（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Meiryo"/>
        <family val="2"/>
      </rPr>
      <t xml:space="preserve">月改定後の定価、</t>
    </r>
    <r>
      <rPr>
        <sz val="10"/>
        <rFont val="Meiryo"/>
        <family val="0"/>
        <charset val="1"/>
      </rPr>
      <t xml:space="preserve">tabiris</t>
    </r>
    <r>
      <rPr>
        <sz val="10"/>
        <rFont val="Meiryo"/>
        <family val="2"/>
      </rPr>
      <t xml:space="preserve">調べ）。領収書の額で上書き</t>
    </r>
  </si>
  <si>
    <t xml:space="preserve">補助不要</t>
  </si>
  <si>
    <t xml:space="preserve">確定</t>
  </si>
  <si>
    <t xml:space="preserve">-</t>
  </si>
  <si>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は宿泊するが補助不要とのこと（翌日オプショナルツアー）</t>
    </r>
  </si>
  <si>
    <t xml:space="preserve">田中さん</t>
  </si>
  <si>
    <r>
      <rPr>
        <sz val="10"/>
        <rFont val="Meiryo"/>
        <family val="2"/>
      </rPr>
      <t xml:space="preserve">往路：新幹線 名古屋→仙台（</t>
    </r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朝）／復路：空路 仙台→中部国際（</t>
    </r>
    <r>
      <rPr>
        <sz val="10"/>
        <rFont val="Meiryo"/>
        <family val="0"/>
        <charset val="1"/>
      </rPr>
      <t xml:space="preserve">11/1</t>
    </r>
    <r>
      <rPr>
        <sz val="10"/>
        <rFont val="Meiryo"/>
        <family val="2"/>
      </rPr>
      <t xml:space="preserve">夕）</t>
    </r>
  </si>
  <si>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11/1</t>
    </r>
  </si>
  <si>
    <t xml:space="preserve">見込み</t>
  </si>
  <si>
    <r>
      <rPr>
        <sz val="10"/>
        <rFont val="Meiryo"/>
        <family val="0"/>
        <charset val="1"/>
      </rPr>
      <t xml:space="preserve">2026/10/03 Re: </t>
    </r>
    <r>
      <rPr>
        <sz val="10"/>
        <rFont val="Meiryo"/>
        <family val="2"/>
      </rPr>
      <t xml:space="preserve">仙台での合同研究会への補助について</t>
    </r>
  </si>
  <si>
    <r>
      <rPr>
        <sz val="10"/>
        <rFont val="Meiryo"/>
        <family val="2"/>
      </rPr>
      <t xml:space="preserve">【見込み】名古屋発と仮定。往路は新幹線（のぞみ＋はやぶさ指定席）片道</t>
    </r>
    <r>
      <rPr>
        <sz val="10"/>
        <rFont val="Meiryo"/>
        <family val="0"/>
        <charset val="1"/>
      </rPr>
      <t xml:space="preserve">20,930</t>
    </r>
    <r>
      <rPr>
        <sz val="10"/>
        <rFont val="Meiryo"/>
        <family val="2"/>
      </rPr>
      <t xml:space="preserve">円、復路は</t>
    </r>
    <r>
      <rPr>
        <sz val="10"/>
        <rFont val="Meiryo"/>
        <family val="0"/>
        <charset val="1"/>
      </rPr>
      <t xml:space="preserve">ANA/IBEX </t>
    </r>
    <r>
      <rPr>
        <sz val="10"/>
        <rFont val="Meiryo"/>
        <family val="2"/>
      </rPr>
      <t xml:space="preserve">前日までの割引運賃</t>
    </r>
    <r>
      <rPr>
        <sz val="10"/>
        <rFont val="Meiryo"/>
        <family val="0"/>
        <charset val="1"/>
      </rPr>
      <t xml:space="preserve">30,610</t>
    </r>
    <r>
      <rPr>
        <sz val="10"/>
        <rFont val="Meiryo"/>
        <family val="2"/>
      </rPr>
      <t xml:space="preserve">円で計上。</t>
    </r>
    <r>
      <rPr>
        <sz val="10"/>
        <rFont val="Meiryo"/>
        <family val="0"/>
        <charset val="1"/>
      </rPr>
      <t xml:space="preserve">28</t>
    </r>
    <r>
      <rPr>
        <sz val="10"/>
        <rFont val="Meiryo"/>
        <family val="2"/>
      </rPr>
      <t xml:space="preserve">日前までの割引なら</t>
    </r>
    <r>
      <rPr>
        <sz val="10"/>
        <rFont val="Meiryo"/>
        <family val="0"/>
        <charset val="1"/>
      </rPr>
      <t xml:space="preserve">17,210</t>
    </r>
    <r>
      <rPr>
        <sz val="10"/>
        <rFont val="Meiryo"/>
        <family val="2"/>
      </rPr>
      <t xml:space="preserve">円、普通運賃は</t>
    </r>
    <r>
      <rPr>
        <sz val="10"/>
        <rFont val="Meiryo"/>
        <family val="0"/>
        <charset val="1"/>
      </rPr>
      <t xml:space="preserve">33,710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34,710</t>
    </r>
    <r>
      <rPr>
        <sz val="10"/>
        <rFont val="Meiryo"/>
        <family val="2"/>
      </rPr>
      <t xml:space="preserve">円。空港までのアクセス費は含まず。往路を空路にした場合は差し替え</t>
    </r>
  </si>
  <si>
    <r>
      <rPr>
        <sz val="10"/>
        <rFont val="Meiryo"/>
        <family val="2"/>
      </rPr>
      <t xml:space="preserve">仙台市内 </t>
    </r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泊（</t>
    </r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）</t>
    </r>
  </si>
  <si>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11/1</t>
    </r>
  </si>
  <si>
    <r>
      <rPr>
        <sz val="10"/>
        <rFont val="Meiryo"/>
        <family val="2"/>
      </rPr>
      <t xml:space="preserve">【見込み】泊数は</t>
    </r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</t>
    </r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泊を想定。速水さんの</t>
    </r>
    <r>
      <rPr>
        <sz val="10"/>
        <rFont val="Meiryo"/>
        <family val="0"/>
        <charset val="1"/>
      </rPr>
      <t xml:space="preserve">15,356</t>
    </r>
    <r>
      <rPr>
        <sz val="10"/>
        <rFont val="Meiryo"/>
        <family val="2"/>
      </rPr>
      <t xml:space="preserve">円を目安に</t>
    </r>
    <r>
      <rPr>
        <sz val="10"/>
        <rFont val="Meiryo"/>
        <family val="0"/>
        <charset val="1"/>
      </rPr>
      <t xml:space="preserve">30,000</t>
    </r>
    <r>
      <rPr>
        <sz val="10"/>
        <rFont val="Meiryo"/>
        <family val="2"/>
      </rPr>
      <t xml:space="preserve">円で計上。泊数・金額は要確認</t>
    </r>
  </si>
  <si>
    <t xml:space="preserve">加藤</t>
  </si>
  <si>
    <t xml:space="preserve">会計</t>
  </si>
  <si>
    <t xml:space="preserve">新幹線 名古屋⇔仙台 往復（のぞみ＋はやぶさ指定席）</t>
  </si>
  <si>
    <r>
      <rPr>
        <sz val="10"/>
        <rFont val="Meiryo"/>
        <family val="2"/>
      </rPr>
      <t xml:space="preserve">本人申告（</t>
    </r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）</t>
    </r>
  </si>
  <si>
    <r>
      <rPr>
        <sz val="10"/>
        <rFont val="Meiryo"/>
        <family val="2"/>
      </rPr>
      <t xml:space="preserve">乗車券</t>
    </r>
    <r>
      <rPr>
        <sz val="10"/>
        <rFont val="Meiryo"/>
        <family val="0"/>
        <charset val="1"/>
      </rPr>
      <t xml:space="preserve">10,560</t>
    </r>
    <r>
      <rPr>
        <sz val="10"/>
        <rFont val="Meiryo"/>
        <family val="2"/>
      </rPr>
      <t xml:space="preserve">円＋特急券</t>
    </r>
    <r>
      <rPr>
        <sz val="10"/>
        <rFont val="Meiryo"/>
        <family val="0"/>
        <charset val="1"/>
      </rPr>
      <t xml:space="preserve">10,370</t>
    </r>
    <r>
      <rPr>
        <sz val="10"/>
        <rFont val="Meiryo"/>
        <family val="2"/>
      </rPr>
      <t xml:space="preserve">円＝片道</t>
    </r>
    <r>
      <rPr>
        <sz val="10"/>
        <rFont val="Meiryo"/>
        <family val="0"/>
        <charset val="1"/>
      </rPr>
      <t xml:space="preserve">20,930</t>
    </r>
    <r>
      <rPr>
        <sz val="10"/>
        <rFont val="Meiryo"/>
        <family val="2"/>
      </rPr>
      <t xml:space="preserve">円</t>
    </r>
    <r>
      <rPr>
        <sz val="10"/>
        <rFont val="Meiryo"/>
        <family val="0"/>
        <charset val="1"/>
      </rPr>
      <t xml:space="preserve">×2</t>
    </r>
    <r>
      <rPr>
        <sz val="10"/>
        <rFont val="Meiryo"/>
        <family val="2"/>
      </rPr>
      <t xml:space="preserve">（駅探調べ）。往復割引は廃止。領収書の額で上書き</t>
    </r>
  </si>
  <si>
    <t xml:space="preserve">仙台市内（予約済み）</t>
  </si>
  <si>
    <r>
      <rPr>
        <sz val="10"/>
        <rFont val="Meiryo"/>
        <family val="2"/>
      </rPr>
      <t xml:space="preserve">宿泊費</t>
    </r>
    <r>
      <rPr>
        <sz val="10"/>
        <rFont val="Meiryo"/>
        <family val="0"/>
        <charset val="1"/>
      </rPr>
      <t xml:space="preserve">14,700</t>
    </r>
    <r>
      <rPr>
        <sz val="10"/>
        <rFont val="Meiryo"/>
        <family val="2"/>
      </rPr>
      <t xml:space="preserve">円（予約済み）。領収書の金額と照合</t>
    </r>
  </si>
  <si>
    <t xml:space="preserve">合計</t>
  </si>
  <si>
    <t xml:space="preserve">精算反映後合計</t>
  </si>
  <si>
    <t xml:space="preserve">＝精算額が入った行は精算額、未入力の行は見込額で合計</t>
  </si>
  <si>
    <t xml:space="preserve">見込額が未入力の件数</t>
  </si>
  <si>
    <t xml:space="preserve">参加者別 集計</t>
  </si>
  <si>
    <t xml:space="preserve">交通費（見込額）</t>
  </si>
  <si>
    <t xml:space="preserve">宿泊費（見込額）</t>
  </si>
  <si>
    <t xml:space="preserve">手土産代（見込額）</t>
  </si>
  <si>
    <t xml:space="preserve">見込額小計</t>
  </si>
  <si>
    <t xml:space="preserve">精算額（入力済み分）</t>
  </si>
  <si>
    <t xml:space="preserve">補助方針</t>
  </si>
  <si>
    <t xml:space="preserve">交通費・宿泊費・手土産代 全額補助（講師）</t>
  </si>
  <si>
    <t xml:space="preserve">東京⇔仙台 新幹線代のみ</t>
  </si>
  <si>
    <t xml:space="preserve">支部として出せる範囲で補助</t>
  </si>
  <si>
    <t xml:space="preserve">予算</t>
  </si>
  <si>
    <t xml:space="preserve">見込額合計（精算一覧と一致確認）</t>
  </si>
  <si>
    <t xml:space="preserve">予算残額（マイナス＝超過）</t>
  </si>
  <si>
    <t xml:space="preserve">※精算額は精算一覧の緑のセルに入力すると、精算反映後合計・予算残額が自動で更新されます。</t>
  </si>
  <si>
    <t xml:space="preserve">補助方針・出典メモ</t>
  </si>
  <si>
    <r>
      <rPr>
        <sz val="10"/>
        <rFont val="Meiryo"/>
        <family val="2"/>
      </rPr>
      <t xml:space="preserve">全体で</t>
    </r>
    <r>
      <rPr>
        <sz val="10"/>
        <rFont val="Meiryo"/>
        <family val="0"/>
        <charset val="1"/>
      </rPr>
      <t xml:space="preserve">15</t>
    </r>
    <r>
      <rPr>
        <sz val="10"/>
        <rFont val="Meiryo"/>
        <family val="2"/>
      </rPr>
      <t xml:space="preserve">万円＋アルファ（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年に科目変更あり）</t>
    </r>
  </si>
  <si>
    <t xml:space="preserve">補助方針（速水さん）</t>
  </si>
  <si>
    <r>
      <rPr>
        <sz val="10"/>
        <rFont val="Meiryo"/>
        <family val="2"/>
      </rPr>
      <t xml:space="preserve">講師のため交通費・宿泊費・手土産代を全額補助（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浅野支部長、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加藤メール）</t>
    </r>
  </si>
  <si>
    <t xml:space="preserve">補助方針（その他）</t>
  </si>
  <si>
    <r>
      <rPr>
        <sz val="10"/>
        <rFont val="Meiryo"/>
        <family val="2"/>
      </rPr>
      <t xml:space="preserve">栗山さん・田中さん・加藤は、予算をある程度超えても支部として出せる範囲で補助（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加藤メール、浅野支部長了承）</t>
    </r>
  </si>
  <si>
    <t xml:space="preserve">宿泊費の目安</t>
  </si>
  <si>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万円以内を目安。超えても支部として補助（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加藤→速水さん）</t>
    </r>
  </si>
  <si>
    <t xml:space="preserve">交通費の目安</t>
  </si>
  <si>
    <r>
      <rPr>
        <sz val="10"/>
        <rFont val="Meiryo"/>
        <family val="2"/>
      </rPr>
      <t xml:space="preserve">往復割引は廃止のため往復約</t>
    </r>
    <r>
      <rPr>
        <sz val="10"/>
        <rFont val="Meiryo"/>
        <family val="0"/>
        <charset val="1"/>
      </rPr>
      <t xml:space="preserve">4</t>
    </r>
    <r>
      <rPr>
        <sz val="10"/>
        <rFont val="Meiryo"/>
        <family val="2"/>
      </rPr>
      <t xml:space="preserve">万円（</t>
    </r>
    <r>
      <rPr>
        <sz val="10"/>
        <rFont val="Meiryo"/>
        <family val="0"/>
        <charset val="1"/>
      </rPr>
      <t xml:space="preserve">9/14 </t>
    </r>
    <r>
      <rPr>
        <sz val="10"/>
        <rFont val="Meiryo"/>
        <family val="2"/>
      </rPr>
      <t xml:space="preserve">原さん・加藤メール）</t>
    </r>
  </si>
  <si>
    <t xml:space="preserve">参加者</t>
  </si>
  <si>
    <r>
      <rPr>
        <sz val="10"/>
        <rFont val="Meiryo"/>
        <family val="2"/>
      </rPr>
      <t xml:space="preserve">加藤・田中さん・栗山さん・速水さんの</t>
    </r>
    <r>
      <rPr>
        <sz val="10"/>
        <rFont val="Meiryo"/>
        <family val="0"/>
        <charset val="1"/>
      </rPr>
      <t xml:space="preserve">4</t>
    </r>
    <r>
      <rPr>
        <sz val="10"/>
        <rFont val="Meiryo"/>
        <family val="2"/>
      </rPr>
      <t xml:space="preserve">名（</t>
    </r>
    <r>
      <rPr>
        <sz val="10"/>
        <rFont val="Meiryo"/>
        <family val="0"/>
        <charset val="1"/>
      </rPr>
      <t xml:space="preserve">10/2 </t>
    </r>
    <r>
      <rPr>
        <sz val="10"/>
        <rFont val="Meiryo"/>
        <family val="2"/>
      </rPr>
      <t xml:space="preserve">浅野支部長メール）</t>
    </r>
  </si>
  <si>
    <t xml:space="preserve">要確認</t>
  </si>
  <si>
    <r>
      <rPr>
        <sz val="10"/>
        <rFont val="Meiryo"/>
        <family val="2"/>
      </rPr>
      <t xml:space="preserve">楽天カード明細 </t>
    </r>
    <r>
      <rPr>
        <sz val="10"/>
        <rFont val="Meiryo"/>
        <family val="0"/>
        <charset val="1"/>
      </rPr>
      <t xml:space="preserve">9/25</t>
    </r>
    <r>
      <rPr>
        <sz val="10"/>
        <rFont val="Meiryo"/>
        <family val="2"/>
      </rPr>
      <t xml:space="preserve">「ｼﾞｴｲｱ</t>
    </r>
    <r>
      <rPr>
        <sz val="10"/>
        <rFont val="Meiryo"/>
        <family val="0"/>
        <charset val="1"/>
      </rPr>
      <t xml:space="preserve">-</t>
    </r>
    <r>
      <rPr>
        <sz val="10"/>
        <rFont val="Meiryo"/>
        <family val="2"/>
      </rPr>
      <t xml:space="preserve">ﾙﾆｼﾆﾎﾝ」</t>
    </r>
    <r>
      <rPr>
        <sz val="10"/>
        <rFont val="Meiryo"/>
        <family val="0"/>
        <charset val="1"/>
      </rPr>
      <t xml:space="preserve">10,380</t>
    </r>
    <r>
      <rPr>
        <sz val="10"/>
        <rFont val="Meiryo"/>
        <family val="2"/>
      </rPr>
      <t xml:space="preserve">円・</t>
    </r>
    <r>
      <rPr>
        <sz val="10"/>
        <rFont val="Meiryo"/>
        <family val="0"/>
        <charset val="1"/>
      </rPr>
      <t xml:space="preserve">9,980</t>
    </r>
    <r>
      <rPr>
        <sz val="10"/>
        <rFont val="Meiryo"/>
        <family val="2"/>
      </rPr>
      <t xml:space="preserve">円は仙台行きか不明のため一覧に含めていません</t>
    </r>
  </si>
  <si>
    <t xml:space="preserve">精算額の入力</t>
  </si>
  <si>
    <t xml:space="preserve">領収書の金額を精算一覧の「精算額（円）」（緑のセル）に入力してください。入力した行は精算額、未入力の行は見込額で合計されます</t>
  </si>
  <si>
    <r>
      <rPr>
        <sz val="10"/>
        <rFont val="Meiryo"/>
        <family val="2"/>
      </rPr>
      <t xml:space="preserve">交通費精算は領収書を忘れずに（</t>
    </r>
    <r>
      <rPr>
        <sz val="10"/>
        <rFont val="Meiryo"/>
        <family val="0"/>
        <charset val="1"/>
      </rPr>
      <t xml:space="preserve">8/24 </t>
    </r>
    <r>
      <rPr>
        <sz val="10"/>
        <rFont val="Meiryo"/>
        <family val="2"/>
      </rPr>
      <t xml:space="preserve">中間会計報告）。立替払いの連絡期限は</t>
    </r>
    <r>
      <rPr>
        <sz val="10"/>
        <rFont val="Meiryo"/>
        <family val="0"/>
        <charset val="1"/>
      </rPr>
      <t xml:space="preserve">12/18</t>
    </r>
  </si>
  <si>
    <t xml:space="preserve">見込みの前提（田中さん）</t>
  </si>
  <si>
    <r>
      <rPr>
        <sz val="10"/>
        <rFont val="Meiryo"/>
        <family val="2"/>
      </rPr>
      <t xml:space="preserve">名古屋発・往路は新幹線・復路は空路（前日までの割引運賃）と仮定した見込み額。宿泊費は</t>
    </r>
    <r>
      <rPr>
        <sz val="10"/>
        <rFont val="Meiryo"/>
        <family val="0"/>
        <charset val="1"/>
      </rPr>
      <t xml:space="preserve">10/30</t>
    </r>
    <r>
      <rPr>
        <sz val="10"/>
        <rFont val="Meiryo"/>
        <family val="2"/>
      </rPr>
      <t xml:space="preserve">・</t>
    </r>
    <r>
      <rPr>
        <sz val="10"/>
        <rFont val="Meiryo"/>
        <family val="0"/>
        <charset val="1"/>
      </rPr>
      <t xml:space="preserve">10/31</t>
    </r>
    <r>
      <rPr>
        <sz val="10"/>
        <rFont val="Meiryo"/>
        <family val="2"/>
      </rPr>
      <t xml:space="preserve">の</t>
    </r>
    <r>
      <rPr>
        <sz val="10"/>
        <rFont val="Meiryo"/>
        <family val="0"/>
        <charset val="1"/>
      </rPr>
      <t xml:space="preserve">2</t>
    </r>
    <r>
      <rPr>
        <sz val="10"/>
        <rFont val="Meiryo"/>
        <family val="2"/>
      </rPr>
      <t xml:space="preserve">泊を想定し、速水さんの</t>
    </r>
    <r>
      <rPr>
        <sz val="10"/>
        <rFont val="Meiryo"/>
        <family val="0"/>
        <charset val="1"/>
      </rPr>
      <t xml:space="preserve">15,356</t>
    </r>
    <r>
      <rPr>
        <sz val="10"/>
        <rFont val="Meiryo"/>
        <family val="2"/>
      </rPr>
      <t xml:space="preserve">円を目安に</t>
    </r>
    <r>
      <rPr>
        <sz val="10"/>
        <rFont val="Meiryo"/>
        <family val="0"/>
        <charset val="1"/>
      </rPr>
      <t xml:space="preserve">30,000</t>
    </r>
    <r>
      <rPr>
        <sz val="10"/>
        <rFont val="Meiryo"/>
        <family val="2"/>
      </rPr>
      <t xml:space="preserve">円で見込み（泊数・金額は要確認）</t>
    </r>
  </si>
  <si>
    <t xml:space="preserve">交通費の調べ方</t>
  </si>
  <si>
    <r>
      <rPr>
        <sz val="10"/>
        <rFont val="Meiryo"/>
        <family val="0"/>
        <charset val="1"/>
      </rPr>
      <t xml:space="preserve">2026/10/03</t>
    </r>
    <r>
      <rPr>
        <sz val="10"/>
        <rFont val="Meiryo"/>
        <family val="2"/>
      </rPr>
      <t xml:space="preserve">時点の</t>
    </r>
    <r>
      <rPr>
        <sz val="10"/>
        <rFont val="Meiryo"/>
        <family val="0"/>
        <charset val="1"/>
      </rPr>
      <t xml:space="preserve">Web</t>
    </r>
    <r>
      <rPr>
        <sz val="10"/>
        <rFont val="Meiryo"/>
        <family val="2"/>
      </rPr>
      <t xml:space="preserve">検索による概算：名古屋⇔仙台（駅探）、東京⇔仙台（</t>
    </r>
    <r>
      <rPr>
        <sz val="10"/>
        <rFont val="Meiryo"/>
        <family val="0"/>
        <charset val="1"/>
      </rPr>
      <t xml:space="preserve">tabiris 2026</t>
    </r>
    <r>
      <rPr>
        <sz val="10"/>
        <rFont val="Meiryo"/>
        <family val="2"/>
      </rPr>
      <t xml:space="preserve">年版）、中部国際⇔仙台の航空運賃（</t>
    </r>
    <r>
      <rPr>
        <sz val="10"/>
        <rFont val="Meiryo"/>
        <family val="0"/>
        <charset val="1"/>
      </rPr>
      <t xml:space="preserve">ANA</t>
    </r>
    <r>
      <rPr>
        <sz val="10"/>
        <rFont val="Meiryo"/>
        <family val="2"/>
      </rPr>
      <t xml:space="preserve">・エアトリ等）。精算時は領収書の金額で上書きしてください</t>
    </r>
  </si>
  <si>
    <t xml:space="preserve">出典メール①</t>
  </si>
  <si>
    <r>
      <rPr>
        <sz val="10"/>
        <rFont val="Meiryo"/>
        <family val="0"/>
        <charset val="1"/>
      </rPr>
      <t xml:space="preserve">2026/09/13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14</t>
    </r>
    <r>
      <rPr>
        <sz val="10"/>
        <rFont val="Meiryo"/>
        <family val="2"/>
      </rPr>
      <t xml:space="preserve">「</t>
    </r>
    <r>
      <rPr>
        <sz val="10"/>
        <rFont val="Meiryo"/>
        <family val="0"/>
        <charset val="1"/>
      </rPr>
      <t xml:space="preserve">SAAJ</t>
    </r>
    <r>
      <rPr>
        <sz val="10"/>
        <rFont val="Meiryo"/>
        <family val="2"/>
      </rPr>
      <t xml:space="preserve">支部合同研究会</t>
    </r>
    <r>
      <rPr>
        <sz val="10"/>
        <rFont val="Meiryo"/>
        <family val="0"/>
        <charset val="1"/>
      </rPr>
      <t xml:space="preserve">2026</t>
    </r>
    <r>
      <rPr>
        <sz val="10"/>
        <rFont val="Meiryo"/>
        <family val="2"/>
      </rPr>
      <t xml:space="preserve">について」</t>
    </r>
  </si>
  <si>
    <t xml:space="preserve">出典メール②</t>
  </si>
  <si>
    <r>
      <rPr>
        <sz val="10"/>
        <rFont val="Meiryo"/>
        <family val="0"/>
        <charset val="1"/>
      </rPr>
      <t xml:space="preserve">2026/09/26</t>
    </r>
    <r>
      <rPr>
        <sz val="10"/>
        <rFont val="Meiryo"/>
        <family val="2"/>
      </rPr>
      <t xml:space="preserve">「★ご連絡★</t>
    </r>
    <r>
      <rPr>
        <sz val="10"/>
        <rFont val="Meiryo"/>
        <family val="0"/>
        <charset val="1"/>
      </rPr>
      <t xml:space="preserve">SAAJ</t>
    </r>
    <r>
      <rPr>
        <sz val="10"/>
        <rFont val="Meiryo"/>
        <family val="2"/>
      </rPr>
      <t xml:space="preserve">支部合同研究会への参加希望</t>
    </r>
    <r>
      <rPr>
        <sz val="10"/>
        <rFont val="Meiryo"/>
        <family val="0"/>
        <charset val="1"/>
      </rPr>
      <t xml:space="preserve">(</t>
    </r>
    <r>
      <rPr>
        <sz val="10"/>
        <rFont val="Meiryo"/>
        <family val="2"/>
      </rPr>
      <t xml:space="preserve">栗山</t>
    </r>
    <r>
      <rPr>
        <sz val="10"/>
        <rFont val="Meiryo"/>
        <family val="0"/>
        <charset val="1"/>
      </rPr>
      <t xml:space="preserve">)</t>
    </r>
    <r>
      <rPr>
        <sz val="10"/>
        <rFont val="Meiryo"/>
        <family val="2"/>
      </rPr>
      <t xml:space="preserve">」</t>
    </r>
  </si>
  <si>
    <t xml:space="preserve">出典メール③</t>
  </si>
  <si>
    <r>
      <rPr>
        <sz val="10"/>
        <rFont val="Meiryo"/>
        <family val="0"/>
        <charset val="1"/>
      </rPr>
      <t xml:space="preserve">2026/09/26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10/02</t>
    </r>
    <r>
      <rPr>
        <sz val="10"/>
        <rFont val="Meiryo"/>
        <family val="2"/>
      </rPr>
      <t xml:space="preserve">「合同研究会の件について」（浅野支部長）</t>
    </r>
  </si>
  <si>
    <t xml:space="preserve">出典メール④</t>
  </si>
  <si>
    <r>
      <rPr>
        <sz val="10"/>
        <rFont val="Meiryo"/>
        <family val="0"/>
        <charset val="1"/>
      </rPr>
      <t xml:space="preserve">2026/10/02</t>
    </r>
    <r>
      <rPr>
        <sz val="10"/>
        <rFont val="Meiryo"/>
        <family val="2"/>
      </rPr>
      <t xml:space="preserve">〜</t>
    </r>
    <r>
      <rPr>
        <sz val="10"/>
        <rFont val="Meiryo"/>
        <family val="0"/>
        <charset val="1"/>
      </rPr>
      <t xml:space="preserve">10/03</t>
    </r>
    <r>
      <rPr>
        <sz val="10"/>
        <rFont val="Meiryo"/>
        <family val="2"/>
      </rPr>
      <t xml:space="preserve">「仙台での合同研究会への補助について」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</si>
</sst>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円;\-#,##0\円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Meiryo"/>
      <family val="0"/>
      <charset val="1"/>
    </font>
    <font>
      <b val="true"/>
      <sz val="14"/>
      <name val="Meiryo"/>
      <family val="2"/>
    </font>
    <font>
      <sz val="9"/>
      <name val="Meiryo"/>
      <family val="2"/>
    </font>
    <font>
      <sz val="9"/>
      <name val="Meiryo"/>
      <family val="0"/>
      <charset val="1"/>
    </font>
    <font>
      <sz val="9"/>
      <color rgb="FFC00000"/>
      <name val="Meiryo"/>
      <family val="2"/>
    </font>
    <font>
      <b val="true"/>
      <sz val="11"/>
      <color rgb="FFFFFFFF"/>
      <name val="Meiryo"/>
      <family val="0"/>
      <charset val="1"/>
    </font>
    <font>
      <b val="true"/>
      <sz val="11"/>
      <color rgb="FFFFFFFF"/>
      <name val="Meiryo"/>
      <family val="2"/>
    </font>
    <font>
      <sz val="10"/>
      <name val="Meiryo"/>
      <family val="0"/>
      <charset val="1"/>
    </font>
    <font>
      <sz val="10"/>
      <name val="Meiryo"/>
      <family val="2"/>
    </font>
    <font>
      <sz val="10"/>
      <color rgb="FF0000FF"/>
      <name val="Meiryo"/>
      <family val="0"/>
      <charset val="1"/>
    </font>
    <font>
      <b val="true"/>
      <sz val="11"/>
      <name val="Meiryo"/>
      <family val="2"/>
    </font>
    <font>
      <b val="true"/>
      <sz val="11"/>
      <name val="Meiryo"/>
      <family val="0"/>
      <charset val="1"/>
    </font>
    <font>
      <b val="true"/>
      <sz val="10"/>
      <name val="Meiryo"/>
      <family val="2"/>
    </font>
    <font>
      <b val="true"/>
      <sz val="10"/>
      <name val="Meiryo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10"/>
    <col collapsed="false" customWidth="true" hidden="false" outlineLevel="0" max="5" min="5" style="0" width="34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1" min="10" style="0" width="9"/>
    <col collapsed="false" customWidth="true" hidden="false" outlineLevel="0" max="12" min="12" style="0" width="34"/>
    <col collapsed="false" customWidth="true" hidden="false" outlineLevel="0" max="13" min="13" style="0" width="4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customFormat="false" ht="26.85" hidden="false" customHeight="false" outlineLevel="0" collapsed="false">
      <c r="A6" s="6" t="n">
        <v>1</v>
      </c>
      <c r="B6" s="7" t="s">
        <v>16</v>
      </c>
      <c r="C6" s="7" t="s">
        <v>17</v>
      </c>
      <c r="D6" s="8" t="s">
        <v>18</v>
      </c>
      <c r="E6" s="7" t="s">
        <v>19</v>
      </c>
      <c r="F6" s="9" t="s">
        <v>20</v>
      </c>
      <c r="G6" s="10" t="n">
        <v>43240</v>
      </c>
      <c r="H6" s="11"/>
      <c r="I6" s="12" t="str">
        <f aca="false">IF(H6="","",H6-G6)</f>
        <v/>
      </c>
      <c r="J6" s="8" t="s">
        <v>21</v>
      </c>
      <c r="K6" s="8" t="s">
        <v>22</v>
      </c>
      <c r="L6" s="9" t="s">
        <v>23</v>
      </c>
      <c r="M6" s="7" t="s">
        <v>24</v>
      </c>
    </row>
    <row r="7" customFormat="false" ht="26.85" hidden="false" customHeight="false" outlineLevel="0" collapsed="false">
      <c r="A7" s="6" t="n">
        <v>2</v>
      </c>
      <c r="B7" s="7" t="s">
        <v>16</v>
      </c>
      <c r="C7" s="7" t="s">
        <v>17</v>
      </c>
      <c r="D7" s="8" t="s">
        <v>25</v>
      </c>
      <c r="E7" s="7" t="s">
        <v>26</v>
      </c>
      <c r="F7" s="9" t="s">
        <v>27</v>
      </c>
      <c r="G7" s="10" t="n">
        <v>15356</v>
      </c>
      <c r="H7" s="11"/>
      <c r="I7" s="12" t="str">
        <f aca="false">IF(H7="","",H7-G7)</f>
        <v/>
      </c>
      <c r="J7" s="8" t="s">
        <v>21</v>
      </c>
      <c r="K7" s="8" t="s">
        <v>22</v>
      </c>
      <c r="L7" s="9" t="s">
        <v>23</v>
      </c>
      <c r="M7" s="7" t="s">
        <v>24</v>
      </c>
    </row>
    <row r="8" customFormat="false" ht="26.85" hidden="false" customHeight="false" outlineLevel="0" collapsed="false">
      <c r="A8" s="6" t="n">
        <v>3</v>
      </c>
      <c r="B8" s="7" t="s">
        <v>16</v>
      </c>
      <c r="C8" s="7" t="s">
        <v>17</v>
      </c>
      <c r="D8" s="8" t="s">
        <v>28</v>
      </c>
      <c r="E8" s="7" t="s">
        <v>29</v>
      </c>
      <c r="F8" s="9"/>
      <c r="G8" s="10" t="n">
        <v>2000</v>
      </c>
      <c r="H8" s="11"/>
      <c r="I8" s="12" t="str">
        <f aca="false">IF(H8="","",H8-G8)</f>
        <v/>
      </c>
      <c r="J8" s="8" t="s">
        <v>30</v>
      </c>
      <c r="K8" s="8" t="s">
        <v>22</v>
      </c>
      <c r="L8" s="9" t="s">
        <v>23</v>
      </c>
      <c r="M8" s="7" t="s">
        <v>31</v>
      </c>
    </row>
    <row r="9" customFormat="false" ht="39.55" hidden="false" customHeight="false" outlineLevel="0" collapsed="false">
      <c r="A9" s="6" t="n">
        <v>4</v>
      </c>
      <c r="B9" s="7" t="s">
        <v>32</v>
      </c>
      <c r="C9" s="7" t="s">
        <v>33</v>
      </c>
      <c r="D9" s="8" t="s">
        <v>18</v>
      </c>
      <c r="E9" s="7" t="s">
        <v>34</v>
      </c>
      <c r="F9" s="9" t="s">
        <v>20</v>
      </c>
      <c r="G9" s="10" t="n">
        <f aca="false">11630*2</f>
        <v>23260</v>
      </c>
      <c r="H9" s="11"/>
      <c r="I9" s="12" t="str">
        <f aca="false">IF(H9="","",H9-G9)</f>
        <v/>
      </c>
      <c r="J9" s="8" t="s">
        <v>21</v>
      </c>
      <c r="K9" s="8" t="s">
        <v>22</v>
      </c>
      <c r="L9" s="9" t="s">
        <v>35</v>
      </c>
      <c r="M9" s="7" t="s">
        <v>36</v>
      </c>
    </row>
    <row r="10" customFormat="false" ht="26.85" hidden="false" customHeight="false" outlineLevel="0" collapsed="false">
      <c r="A10" s="6" t="n">
        <v>5</v>
      </c>
      <c r="B10" s="7" t="s">
        <v>32</v>
      </c>
      <c r="C10" s="7" t="s">
        <v>33</v>
      </c>
      <c r="D10" s="8" t="s">
        <v>25</v>
      </c>
      <c r="E10" s="7" t="s">
        <v>37</v>
      </c>
      <c r="F10" s="9"/>
      <c r="G10" s="10" t="n">
        <v>0</v>
      </c>
      <c r="H10" s="11"/>
      <c r="I10" s="12" t="str">
        <f aca="false">IF(H10="","",H10-G10)</f>
        <v/>
      </c>
      <c r="J10" s="8" t="s">
        <v>38</v>
      </c>
      <c r="K10" s="6" t="s">
        <v>39</v>
      </c>
      <c r="L10" s="9" t="s">
        <v>23</v>
      </c>
      <c r="M10" s="9" t="s">
        <v>40</v>
      </c>
    </row>
    <row r="11" customFormat="false" ht="64.9" hidden="false" customHeight="false" outlineLevel="0" collapsed="false">
      <c r="A11" s="6" t="n">
        <v>6</v>
      </c>
      <c r="B11" s="7" t="s">
        <v>41</v>
      </c>
      <c r="C11" s="7" t="s">
        <v>33</v>
      </c>
      <c r="D11" s="8" t="s">
        <v>18</v>
      </c>
      <c r="E11" s="7" t="s">
        <v>42</v>
      </c>
      <c r="F11" s="9" t="s">
        <v>43</v>
      </c>
      <c r="G11" s="10" t="n">
        <f aca="false">20930+30610</f>
        <v>51540</v>
      </c>
      <c r="H11" s="11"/>
      <c r="I11" s="12" t="str">
        <f aca="false">IF(H11="","",H11-G11)</f>
        <v/>
      </c>
      <c r="J11" s="8" t="s">
        <v>44</v>
      </c>
      <c r="K11" s="8" t="s">
        <v>22</v>
      </c>
      <c r="L11" s="9" t="s">
        <v>45</v>
      </c>
      <c r="M11" s="7" t="s">
        <v>46</v>
      </c>
    </row>
    <row r="12" customFormat="false" ht="26.85" hidden="false" customHeight="false" outlineLevel="0" collapsed="false">
      <c r="A12" s="6" t="n">
        <v>7</v>
      </c>
      <c r="B12" s="7" t="s">
        <v>41</v>
      </c>
      <c r="C12" s="7" t="s">
        <v>33</v>
      </c>
      <c r="D12" s="8" t="s">
        <v>25</v>
      </c>
      <c r="E12" s="7" t="s">
        <v>47</v>
      </c>
      <c r="F12" s="9" t="s">
        <v>48</v>
      </c>
      <c r="G12" s="10" t="n">
        <v>30000</v>
      </c>
      <c r="H12" s="11"/>
      <c r="I12" s="12" t="str">
        <f aca="false">IF(H12="","",H12-G12)</f>
        <v/>
      </c>
      <c r="J12" s="8" t="s">
        <v>44</v>
      </c>
      <c r="K12" s="8" t="s">
        <v>22</v>
      </c>
      <c r="L12" s="9" t="s">
        <v>45</v>
      </c>
      <c r="M12" s="7" t="s">
        <v>49</v>
      </c>
    </row>
    <row r="13" customFormat="false" ht="26.85" hidden="false" customHeight="false" outlineLevel="0" collapsed="false">
      <c r="A13" s="6" t="n">
        <v>8</v>
      </c>
      <c r="B13" s="7" t="s">
        <v>50</v>
      </c>
      <c r="C13" s="7" t="s">
        <v>51</v>
      </c>
      <c r="D13" s="8" t="s">
        <v>18</v>
      </c>
      <c r="E13" s="7" t="s">
        <v>52</v>
      </c>
      <c r="F13" s="9" t="s">
        <v>20</v>
      </c>
      <c r="G13" s="10" t="n">
        <f aca="false">20930*2</f>
        <v>41860</v>
      </c>
      <c r="H13" s="11"/>
      <c r="I13" s="12" t="str">
        <f aca="false">IF(H13="","",H13-G13)</f>
        <v/>
      </c>
      <c r="J13" s="8" t="s">
        <v>21</v>
      </c>
      <c r="K13" s="8" t="s">
        <v>22</v>
      </c>
      <c r="L13" s="7" t="s">
        <v>53</v>
      </c>
      <c r="M13" s="7" t="s">
        <v>54</v>
      </c>
    </row>
    <row r="14" customFormat="false" ht="15" hidden="false" customHeight="false" outlineLevel="0" collapsed="false">
      <c r="A14" s="6" t="n">
        <v>9</v>
      </c>
      <c r="B14" s="7" t="s">
        <v>50</v>
      </c>
      <c r="C14" s="7" t="s">
        <v>51</v>
      </c>
      <c r="D14" s="8" t="s">
        <v>25</v>
      </c>
      <c r="E14" s="7" t="s">
        <v>55</v>
      </c>
      <c r="F14" s="9"/>
      <c r="G14" s="10" t="n">
        <v>14700</v>
      </c>
      <c r="H14" s="11"/>
      <c r="I14" s="12" t="str">
        <f aca="false">IF(H14="","",H14-G14)</f>
        <v/>
      </c>
      <c r="J14" s="8" t="s">
        <v>38</v>
      </c>
      <c r="K14" s="8" t="s">
        <v>22</v>
      </c>
      <c r="L14" s="7" t="s">
        <v>53</v>
      </c>
      <c r="M14" s="7" t="s">
        <v>56</v>
      </c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4" t="s">
        <v>57</v>
      </c>
      <c r="G15" s="15" t="n">
        <f aca="false">SUM(G6:G14)</f>
        <v>221956</v>
      </c>
      <c r="H15" s="15" t="n">
        <f aca="false">SUM(H6:H14)</f>
        <v>0</v>
      </c>
      <c r="I15" s="13"/>
      <c r="J15" s="13"/>
      <c r="K15" s="13"/>
      <c r="L15" s="13"/>
      <c r="M15" s="13"/>
    </row>
    <row r="16" customFormat="false" ht="15" hidden="false" customHeight="false" outlineLevel="0" collapsed="false">
      <c r="F16" s="16" t="s">
        <v>58</v>
      </c>
      <c r="G16" s="17" t="n">
        <f aca="false">G15-SUMPRODUCT(--(H6:H14&lt;&gt;""),G6:G14)+H15</f>
        <v>221956</v>
      </c>
      <c r="H16" s="2" t="s">
        <v>59</v>
      </c>
    </row>
    <row r="17" customFormat="false" ht="15" hidden="false" customHeight="false" outlineLevel="0" collapsed="false">
      <c r="F17" s="2" t="s">
        <v>60</v>
      </c>
      <c r="G17" s="2" t="str">
        <f aca="false">COUNTBLANK(G6:G14)&amp;"件"</f>
        <v>0件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8" t="s">
        <v>61</v>
      </c>
    </row>
    <row r="3" customFormat="false" ht="15" hidden="false" customHeight="false" outlineLevel="0" collapsed="false">
      <c r="A3" s="19" t="s">
        <v>4</v>
      </c>
      <c r="B3" s="19" t="s">
        <v>62</v>
      </c>
      <c r="C3" s="19" t="s">
        <v>63</v>
      </c>
      <c r="D3" s="19" t="s">
        <v>64</v>
      </c>
      <c r="E3" s="19" t="s">
        <v>65</v>
      </c>
      <c r="F3" s="19" t="s">
        <v>66</v>
      </c>
      <c r="G3" s="19" t="s">
        <v>58</v>
      </c>
      <c r="H3" s="19" t="s">
        <v>67</v>
      </c>
    </row>
    <row r="4" customFormat="false" ht="15" hidden="false" customHeight="false" outlineLevel="0" collapsed="false">
      <c r="A4" s="20" t="s">
        <v>16</v>
      </c>
      <c r="B4" s="21" t="n">
        <f aca="false">SUMIFS(精算一覧!$G$6:$G$14,精算一覧!$B$6:$B$14,$A4,精算一覧!$D$6:$D$14,"交通費")</f>
        <v>43240</v>
      </c>
      <c r="C4" s="21" t="n">
        <f aca="false">SUMIFS(精算一覧!$G$6:$G$14,精算一覧!$B$6:$B$14,$A4,精算一覧!$D$6:$D$14,"宿泊費")</f>
        <v>15356</v>
      </c>
      <c r="D4" s="21" t="n">
        <f aca="false">SUMIFS(精算一覧!$G$6:$G$14,精算一覧!$B$6:$B$14,$A4,精算一覧!$D$6:$D$14,"手土産代")</f>
        <v>2000</v>
      </c>
      <c r="E4" s="21" t="n">
        <f aca="false">SUM(B4:D4)</f>
        <v>60596</v>
      </c>
      <c r="F4" s="21" t="n">
        <f aca="false">SUMIFS(精算一覧!$H$6:$H$14,精算一覧!$B$6:$B$14,$A4)</f>
        <v>0</v>
      </c>
      <c r="G4" s="21" t="n">
        <f aca="false">E4-SUMPRODUCT((精算一覧!$B$6:$B$14=$A4)*(精算一覧!$H$6:$H$14&lt;&gt;"")*精算一覧!$G$6:$G$14)+F4</f>
        <v>60596</v>
      </c>
      <c r="H4" s="20" t="s">
        <v>68</v>
      </c>
    </row>
    <row r="5" customFormat="false" ht="15" hidden="false" customHeight="false" outlineLevel="0" collapsed="false">
      <c r="A5" s="20" t="s">
        <v>32</v>
      </c>
      <c r="B5" s="21" t="n">
        <f aca="false">SUMIFS(精算一覧!$G$6:$G$14,精算一覧!$B$6:$B$14,$A5,精算一覧!$D$6:$D$14,"交通費")</f>
        <v>23260</v>
      </c>
      <c r="C5" s="21" t="n">
        <f aca="false">SUMIFS(精算一覧!$G$6:$G$14,精算一覧!$B$6:$B$14,$A5,精算一覧!$D$6:$D$14,"宿泊費")</f>
        <v>0</v>
      </c>
      <c r="D5" s="21" t="n">
        <f aca="false">SUMIFS(精算一覧!$G$6:$G$14,精算一覧!$B$6:$B$14,$A5,精算一覧!$D$6:$D$14,"手土産代")</f>
        <v>0</v>
      </c>
      <c r="E5" s="21" t="n">
        <f aca="false">SUM(B5:D5)</f>
        <v>23260</v>
      </c>
      <c r="F5" s="21" t="n">
        <f aca="false">SUMIFS(精算一覧!$H$6:$H$14,精算一覧!$B$6:$B$14,$A5)</f>
        <v>0</v>
      </c>
      <c r="G5" s="21" t="n">
        <f aca="false">E5-SUMPRODUCT((精算一覧!$B$6:$B$14=$A5)*(精算一覧!$H$6:$H$14&lt;&gt;"")*精算一覧!$G$6:$G$14)+F5</f>
        <v>23260</v>
      </c>
      <c r="H5" s="20" t="s">
        <v>69</v>
      </c>
    </row>
    <row r="6" customFormat="false" ht="15" hidden="false" customHeight="false" outlineLevel="0" collapsed="false">
      <c r="A6" s="20" t="s">
        <v>41</v>
      </c>
      <c r="B6" s="21" t="n">
        <f aca="false">SUMIFS(精算一覧!$G$6:$G$14,精算一覧!$B$6:$B$14,$A6,精算一覧!$D$6:$D$14,"交通費")</f>
        <v>51540</v>
      </c>
      <c r="C6" s="21" t="n">
        <f aca="false">SUMIFS(精算一覧!$G$6:$G$14,精算一覧!$B$6:$B$14,$A6,精算一覧!$D$6:$D$14,"宿泊費")</f>
        <v>30000</v>
      </c>
      <c r="D6" s="21" t="n">
        <f aca="false">SUMIFS(精算一覧!$G$6:$G$14,精算一覧!$B$6:$B$14,$A6,精算一覧!$D$6:$D$14,"手土産代")</f>
        <v>0</v>
      </c>
      <c r="E6" s="21" t="n">
        <f aca="false">SUM(B6:D6)</f>
        <v>81540</v>
      </c>
      <c r="F6" s="21" t="n">
        <f aca="false">SUMIFS(精算一覧!$H$6:$H$14,精算一覧!$B$6:$B$14,$A6)</f>
        <v>0</v>
      </c>
      <c r="G6" s="21" t="n">
        <f aca="false">E6-SUMPRODUCT((精算一覧!$B$6:$B$14=$A6)*(精算一覧!$H$6:$H$14&lt;&gt;"")*精算一覧!$G$6:$G$14)+F6</f>
        <v>81540</v>
      </c>
      <c r="H6" s="20" t="s">
        <v>70</v>
      </c>
    </row>
    <row r="7" customFormat="false" ht="15" hidden="false" customHeight="false" outlineLevel="0" collapsed="false">
      <c r="A7" s="20" t="s">
        <v>50</v>
      </c>
      <c r="B7" s="21" t="n">
        <f aca="false">SUMIFS(精算一覧!$G$6:$G$14,精算一覧!$B$6:$B$14,$A7,精算一覧!$D$6:$D$14,"交通費")</f>
        <v>41860</v>
      </c>
      <c r="C7" s="21" t="n">
        <f aca="false">SUMIFS(精算一覧!$G$6:$G$14,精算一覧!$B$6:$B$14,$A7,精算一覧!$D$6:$D$14,"宿泊費")</f>
        <v>14700</v>
      </c>
      <c r="D7" s="21" t="n">
        <f aca="false">SUMIFS(精算一覧!$G$6:$G$14,精算一覧!$B$6:$B$14,$A7,精算一覧!$D$6:$D$14,"手土産代")</f>
        <v>0</v>
      </c>
      <c r="E7" s="21" t="n">
        <f aca="false">SUM(B7:D7)</f>
        <v>56560</v>
      </c>
      <c r="F7" s="21" t="n">
        <f aca="false">SUMIFS(精算一覧!$H$6:$H$14,精算一覧!$B$6:$B$14,$A7)</f>
        <v>0</v>
      </c>
      <c r="G7" s="21" t="n">
        <f aca="false">E7-SUMPRODUCT((精算一覧!$B$6:$B$14=$A7)*(精算一覧!$H$6:$H$14&lt;&gt;"")*精算一覧!$G$6:$G$14)+F7</f>
        <v>56560</v>
      </c>
      <c r="H7" s="20" t="s">
        <v>70</v>
      </c>
    </row>
    <row r="8" customFormat="false" ht="15" hidden="false" customHeight="false" outlineLevel="0" collapsed="false">
      <c r="A8" s="22" t="s">
        <v>57</v>
      </c>
      <c r="B8" s="23" t="n">
        <f aca="false">SUM(B4:B7)</f>
        <v>159900</v>
      </c>
      <c r="C8" s="23" t="n">
        <f aca="false">SUM(C4:C7)</f>
        <v>60056</v>
      </c>
      <c r="D8" s="23" t="n">
        <f aca="false">SUM(D4:D7)</f>
        <v>2000</v>
      </c>
      <c r="E8" s="23" t="n">
        <f aca="false">SUM(E4:E7)</f>
        <v>221956</v>
      </c>
      <c r="F8" s="23" t="n">
        <f aca="false">SUM(F4:F7)</f>
        <v>0</v>
      </c>
      <c r="G8" s="23" t="n">
        <f aca="false">SUM(G4:G7)</f>
        <v>221956</v>
      </c>
      <c r="H8" s="22"/>
    </row>
    <row r="10" customFormat="false" ht="15" hidden="false" customHeight="false" outlineLevel="0" collapsed="false">
      <c r="A10" s="24" t="s">
        <v>71</v>
      </c>
      <c r="B10" s="25" t="n">
        <v>150000</v>
      </c>
    </row>
    <row r="11" customFormat="false" ht="15" hidden="false" customHeight="false" outlineLevel="0" collapsed="false">
      <c r="A11" s="24" t="s">
        <v>72</v>
      </c>
      <c r="B11" s="21" t="n">
        <f aca="false">精算一覧!G15</f>
        <v>221956</v>
      </c>
    </row>
    <row r="12" customFormat="false" ht="15" hidden="false" customHeight="false" outlineLevel="0" collapsed="false">
      <c r="A12" s="24" t="s">
        <v>58</v>
      </c>
      <c r="B12" s="21" t="n">
        <f aca="false">G8</f>
        <v>221956</v>
      </c>
    </row>
    <row r="13" customFormat="false" ht="15" hidden="false" customHeight="false" outlineLevel="0" collapsed="false">
      <c r="A13" s="24" t="s">
        <v>73</v>
      </c>
      <c r="B13" s="21" t="n">
        <f aca="false">B10-G8</f>
        <v>-71956</v>
      </c>
    </row>
    <row r="15" customFormat="false" ht="15" hidden="false" customHeight="false" outlineLevel="0" collapsed="false">
      <c r="A15" s="3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8" t="s">
        <v>75</v>
      </c>
    </row>
    <row r="3" customFormat="false" ht="15" hidden="false" customHeight="false" outlineLevel="0" collapsed="false">
      <c r="A3" s="24" t="s">
        <v>71</v>
      </c>
      <c r="B3" s="26" t="s">
        <v>76</v>
      </c>
    </row>
    <row r="4" customFormat="false" ht="15" hidden="false" customHeight="false" outlineLevel="0" collapsed="false">
      <c r="A4" s="24" t="s">
        <v>77</v>
      </c>
      <c r="B4" s="26" t="s">
        <v>78</v>
      </c>
    </row>
    <row r="5" customFormat="false" ht="15" hidden="false" customHeight="false" outlineLevel="0" collapsed="false">
      <c r="A5" s="24" t="s">
        <v>79</v>
      </c>
      <c r="B5" s="26" t="s">
        <v>80</v>
      </c>
    </row>
    <row r="6" customFormat="false" ht="15" hidden="false" customHeight="false" outlineLevel="0" collapsed="false">
      <c r="A6" s="24" t="s">
        <v>81</v>
      </c>
      <c r="B6" s="27" t="s">
        <v>82</v>
      </c>
    </row>
    <row r="7" customFormat="false" ht="15" hidden="false" customHeight="false" outlineLevel="0" collapsed="false">
      <c r="A7" s="24" t="s">
        <v>83</v>
      </c>
      <c r="B7" s="26" t="s">
        <v>84</v>
      </c>
    </row>
    <row r="8" customFormat="false" ht="15" hidden="false" customHeight="false" outlineLevel="0" collapsed="false">
      <c r="A8" s="24" t="s">
        <v>85</v>
      </c>
      <c r="B8" s="26" t="s">
        <v>86</v>
      </c>
    </row>
    <row r="9" customFormat="false" ht="15" hidden="false" customHeight="false" outlineLevel="0" collapsed="false">
      <c r="A9" s="24" t="s">
        <v>87</v>
      </c>
      <c r="B9" s="26" t="s">
        <v>88</v>
      </c>
    </row>
    <row r="10" customFormat="false" ht="26.85" hidden="false" customHeight="false" outlineLevel="0" collapsed="false">
      <c r="A10" s="24" t="s">
        <v>89</v>
      </c>
      <c r="B10" s="26" t="s">
        <v>90</v>
      </c>
    </row>
    <row r="11" customFormat="false" ht="15" hidden="false" customHeight="false" outlineLevel="0" collapsed="false">
      <c r="A11" s="24" t="s">
        <v>13</v>
      </c>
      <c r="B11" s="26" t="s">
        <v>91</v>
      </c>
    </row>
    <row r="12" customFormat="false" ht="26.85" hidden="false" customHeight="false" outlineLevel="0" collapsed="false">
      <c r="A12" s="24" t="s">
        <v>92</v>
      </c>
      <c r="B12" s="26" t="s">
        <v>93</v>
      </c>
    </row>
    <row r="13" customFormat="false" ht="26.85" hidden="false" customHeight="false" outlineLevel="0" collapsed="false">
      <c r="A13" s="24" t="s">
        <v>94</v>
      </c>
      <c r="B13" s="27" t="s">
        <v>95</v>
      </c>
    </row>
    <row r="14" customFormat="false" ht="15" hidden="false" customHeight="false" outlineLevel="0" collapsed="false">
      <c r="A14" s="24" t="s">
        <v>96</v>
      </c>
      <c r="B14" s="27" t="s">
        <v>97</v>
      </c>
    </row>
    <row r="15" customFormat="false" ht="15" hidden="false" customHeight="false" outlineLevel="0" collapsed="false">
      <c r="A15" s="24" t="s">
        <v>98</v>
      </c>
      <c r="B15" s="27" t="s">
        <v>99</v>
      </c>
    </row>
    <row r="16" customFormat="false" ht="15" hidden="false" customHeight="false" outlineLevel="0" collapsed="false">
      <c r="A16" s="24" t="s">
        <v>100</v>
      </c>
      <c r="B16" s="27" t="s">
        <v>101</v>
      </c>
    </row>
    <row r="17" customFormat="false" ht="15" hidden="false" customHeight="false" outlineLevel="0" collapsed="false">
      <c r="A17" s="24" t="s">
        <v>102</v>
      </c>
      <c r="B17" s="27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2026-10-03T22:57:41Z</dcterms:created>
  <dc:creator>openpyxl</dc:creator>
  <dc:description/>
  <dc:language>en-US</dc:language>
  <cp:lastModifiedBy/>
  <dcterms:modified xsi:type="dcterms:W3CDTF">2026-10-03T22:57:41Z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