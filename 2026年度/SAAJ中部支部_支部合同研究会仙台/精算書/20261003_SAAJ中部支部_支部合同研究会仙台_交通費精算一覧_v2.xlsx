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算一覧" sheetId="1" state="visible" r:id="rId1"/>
    <sheet name="集計" sheetId="2" state="visible" r:id="rId2"/>
    <sheet name="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;-#,##0&quot;円&quot;;&quot;-&quot;"/>
  </numFmts>
  <fonts count="9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sz val="9"/>
    </font>
    <font>
      <name val="Meiryo"/>
      <color rgb="00C00000"/>
      <sz val="9"/>
    </font>
    <font>
      <name val="Meiryo"/>
      <b val="1"/>
      <color rgb="00FFFFFF"/>
    </font>
    <font>
      <name val="Meiryo"/>
      <sz val="10"/>
    </font>
    <font>
      <name val="Meiryo"/>
      <color rgb="000000FF"/>
      <sz val="10"/>
    </font>
    <font>
      <name val="Meiryo"/>
      <b val="1"/>
    </font>
    <font>
      <name val="Meiryo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7" fillId="4" borderId="1" pivotButton="0" quotePrefix="0" xfId="0"/>
    <xf numFmtId="164" fontId="7" fillId="4" borderId="1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0" fontId="8" fillId="4" borderId="1" pivotButton="0" quotePrefix="0" xfId="0"/>
    <xf numFmtId="164" fontId="8" fillId="4" borderId="1" pivotButton="0" quotePrefix="0" xfId="0"/>
    <xf numFmtId="0" fontId="8" fillId="0" borderId="1" pivotButton="0" quotePrefix="0" xfId="0"/>
    <xf numFmtId="164" fontId="6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加藤</author>
  </authors>
  <commentList>
    <comment ref="B10" authorId="0" shapeId="0">
      <text>
        <t>出典：2026/09/13・10/02 加藤メール「全体で15万円＋アルファの予算感」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34" customWidth="1" min="5" max="5"/>
    <col width="16" customWidth="1" min="6" max="6"/>
    <col width="14" customWidth="1" min="7" max="7"/>
    <col width="9" customWidth="1" min="8" max="8"/>
    <col width="9" customWidth="1" min="9" max="9"/>
    <col width="34" customWidth="1" min="10" max="10"/>
    <col width="40" customWidth="1" min="11" max="11"/>
  </cols>
  <sheetData>
    <row r="1">
      <c r="A1" s="1" t="inlineStr">
        <is>
          <t>SAAJ支部合同研究会2026（仙台）交通費・宿泊費 精算一覧</t>
        </is>
      </c>
    </row>
    <row r="2">
      <c r="A2" s="2" t="inlineStr">
        <is>
          <t>開催：2026年10月31日（土）〜11月1日（日）仙台市　／　作成：中部支部 会計 加藤　／　更新日：2026年10月3日（v2：交通費の概算を入力）</t>
        </is>
      </c>
    </row>
    <row r="3">
      <c r="A3" s="3" t="inlineStr">
        <is>
          <t>黄色のセル＝金額未確定（領収書・確定額が分かり次第ご入力ください。合計は自動計算されます）</t>
        </is>
      </c>
    </row>
    <row r="5">
      <c r="A5" s="4" t="inlineStr">
        <is>
          <t>No</t>
        </is>
      </c>
      <c r="B5" s="4" t="inlineStr">
        <is>
          <t>氏名</t>
        </is>
      </c>
      <c r="C5" s="4" t="inlineStr">
        <is>
          <t>役割</t>
        </is>
      </c>
      <c r="D5" s="4" t="inlineStr">
        <is>
          <t>区分</t>
        </is>
      </c>
      <c r="E5" s="4" t="inlineStr">
        <is>
          <t>区間・内容</t>
        </is>
      </c>
      <c r="F5" s="4" t="inlineStr">
        <is>
          <t>利用日</t>
        </is>
      </c>
      <c r="G5" s="4" t="inlineStr">
        <is>
          <t>金額（円）</t>
        </is>
      </c>
      <c r="H5" s="4" t="inlineStr">
        <is>
          <t>状態</t>
        </is>
      </c>
      <c r="I5" s="4" t="inlineStr">
        <is>
          <t>領収書</t>
        </is>
      </c>
      <c r="J5" s="4" t="inlineStr">
        <is>
          <t>出典メール</t>
        </is>
      </c>
      <c r="K5" s="4" t="inlineStr">
        <is>
          <t>備考</t>
        </is>
      </c>
    </row>
    <row r="6">
      <c r="A6" s="5" t="n">
        <v>1</v>
      </c>
      <c r="B6" s="6" t="inlineStr">
        <is>
          <t>速水さん</t>
        </is>
      </c>
      <c r="C6" s="6" t="inlineStr">
        <is>
          <t>講師</t>
        </is>
      </c>
      <c r="D6" s="5" t="inlineStr">
        <is>
          <t>交通費</t>
        </is>
      </c>
      <c r="E6" s="6" t="inlineStr">
        <is>
          <t>往復（自宅⇔仙台）</t>
        </is>
      </c>
      <c r="F6" s="6" t="inlineStr">
        <is>
          <t>10/31〜11/1</t>
        </is>
      </c>
      <c r="G6" s="7" t="n">
        <v>43240</v>
      </c>
      <c r="H6" s="5" t="inlineStr">
        <is>
          <t>概算</t>
        </is>
      </c>
      <c r="I6" s="5" t="inlineStr">
        <is>
          <t>未</t>
        </is>
      </c>
      <c r="J6" s="6" t="inlineStr">
        <is>
          <t>2026/10/02 Re: 仙台での合同研究会への補助について</t>
        </is>
      </c>
      <c r="K6" s="6" t="inlineStr">
        <is>
          <t>ご本人より「ほぼ確定」との連絡。全額補助</t>
        </is>
      </c>
    </row>
    <row r="7">
      <c r="A7" s="5" t="n">
        <v>2</v>
      </c>
      <c r="B7" s="6" t="inlineStr">
        <is>
          <t>速水さん</t>
        </is>
      </c>
      <c r="C7" s="6" t="inlineStr">
        <is>
          <t>講師</t>
        </is>
      </c>
      <c r="D7" s="5" t="inlineStr">
        <is>
          <t>宿泊費</t>
        </is>
      </c>
      <c r="E7" s="6" t="inlineStr">
        <is>
          <t>仙台市内 1泊</t>
        </is>
      </c>
      <c r="F7" s="6" t="inlineStr">
        <is>
          <t>10/31</t>
        </is>
      </c>
      <c r="G7" s="7" t="n">
        <v>15356</v>
      </c>
      <c r="H7" s="5" t="inlineStr">
        <is>
          <t>概算</t>
        </is>
      </c>
      <c r="I7" s="5" t="inlineStr">
        <is>
          <t>未</t>
        </is>
      </c>
      <c r="J7" s="6" t="inlineStr">
        <is>
          <t>2026/10/02 Re: 仙台での合同研究会への補助について</t>
        </is>
      </c>
      <c r="K7" s="6" t="inlineStr">
        <is>
          <t>ご本人より「ほぼ確定」との連絡。全額補助</t>
        </is>
      </c>
    </row>
    <row r="8">
      <c r="A8" s="5" t="n">
        <v>3</v>
      </c>
      <c r="B8" s="6" t="inlineStr">
        <is>
          <t>速水さん</t>
        </is>
      </c>
      <c r="C8" s="6" t="inlineStr">
        <is>
          <t>講師</t>
        </is>
      </c>
      <c r="D8" s="5" t="inlineStr">
        <is>
          <t>手土産代</t>
        </is>
      </c>
      <c r="E8" s="6" t="inlineStr">
        <is>
          <t>手土産（加藤が手配）</t>
        </is>
      </c>
      <c r="F8" s="6" t="inlineStr"/>
      <c r="G8" s="8" t="n"/>
      <c r="H8" s="5" t="inlineStr">
        <is>
          <t>未定</t>
        </is>
      </c>
      <c r="I8" s="5" t="inlineStr">
        <is>
          <t>未</t>
        </is>
      </c>
      <c r="J8" s="6" t="inlineStr">
        <is>
          <t>2026/10/02 Re: 仙台での合同研究会への補助について</t>
        </is>
      </c>
      <c r="K8" s="6" t="inlineStr">
        <is>
          <t>速水さんより加藤へ一任。9/14浅野支部長・加藤にて補助了承済み</t>
        </is>
      </c>
    </row>
    <row r="9">
      <c r="A9" s="5" t="n">
        <v>4</v>
      </c>
      <c r="B9" s="6" t="inlineStr">
        <is>
          <t>栗山さん</t>
        </is>
      </c>
      <c r="C9" s="6" t="inlineStr">
        <is>
          <t>参加</t>
        </is>
      </c>
      <c r="D9" s="5" t="inlineStr">
        <is>
          <t>交通費</t>
        </is>
      </c>
      <c r="E9" s="6" t="inlineStr">
        <is>
          <t>新幹線 東京⇔仙台 往復（はやぶさ指定席）</t>
        </is>
      </c>
      <c r="F9" s="6" t="inlineStr">
        <is>
          <t>10/31〜11/1</t>
        </is>
      </c>
      <c r="G9" s="7">
        <f>11630*2</f>
        <v/>
      </c>
      <c r="H9" s="5" t="inlineStr">
        <is>
          <t>概算</t>
        </is>
      </c>
      <c r="I9" s="5" t="inlineStr">
        <is>
          <t>未</t>
        </is>
      </c>
      <c r="J9" s="6" t="inlineStr">
        <is>
          <t>2026/09/26 参加希望(栗山)／2026/10/02 Re: 仙台での合同研究会への補助について</t>
        </is>
      </c>
      <c r="K9" s="6" t="inlineStr">
        <is>
          <t>名古屋⇔東京は会社負担のため補助対象外。片道11,630円×2（2026年3月改定後の定価、tabiris調べ）。領収書の額で上書き</t>
        </is>
      </c>
    </row>
    <row r="10">
      <c r="A10" s="5" t="n">
        <v>5</v>
      </c>
      <c r="B10" s="6" t="inlineStr">
        <is>
          <t>栗山さん</t>
        </is>
      </c>
      <c r="C10" s="6" t="inlineStr">
        <is>
          <t>参加</t>
        </is>
      </c>
      <c r="D10" s="5" t="inlineStr">
        <is>
          <t>宿泊費</t>
        </is>
      </c>
      <c r="E10" s="6" t="inlineStr">
        <is>
          <t>補助不要</t>
        </is>
      </c>
      <c r="F10" s="6" t="inlineStr"/>
      <c r="G10" s="7" t="n">
        <v>0</v>
      </c>
      <c r="H10" s="5" t="inlineStr">
        <is>
          <t>確定</t>
        </is>
      </c>
      <c r="I10" s="5" t="inlineStr">
        <is>
          <t>-</t>
        </is>
      </c>
      <c r="J10" s="6" t="inlineStr">
        <is>
          <t>2026/10/02 Re: 仙台での合同研究会への補助について</t>
        </is>
      </c>
      <c r="K10" s="6" t="inlineStr">
        <is>
          <t>10/31は宿泊するが補助不要とのこと（翌日オプショナルツアー）</t>
        </is>
      </c>
    </row>
    <row r="11">
      <c r="A11" s="5" t="n">
        <v>6</v>
      </c>
      <c r="B11" s="6" t="inlineStr">
        <is>
          <t>田中さん</t>
        </is>
      </c>
      <c r="C11" s="6" t="inlineStr">
        <is>
          <t>参加</t>
        </is>
      </c>
      <c r="D11" s="5" t="inlineStr">
        <is>
          <t>交通費</t>
        </is>
      </c>
      <c r="E11" s="6" t="inlineStr">
        <is>
          <t>往路：新幹線 名古屋→仙台（10/30朝）／復路：空路 仙台→中部国際（11/1夕）</t>
        </is>
      </c>
      <c r="F11" s="6" t="inlineStr">
        <is>
          <t>10/30・11/1</t>
        </is>
      </c>
      <c r="G11" s="7">
        <f>20930+30610</f>
        <v/>
      </c>
      <c r="H11" s="5" t="inlineStr">
        <is>
          <t>概算</t>
        </is>
      </c>
      <c r="I11" s="5" t="inlineStr">
        <is>
          <t>未</t>
        </is>
      </c>
      <c r="J11" s="6" t="inlineStr">
        <is>
          <t>2026/10/03 Re: 仙台での合同研究会への補助について</t>
        </is>
      </c>
      <c r="K11" s="6" t="inlineStr">
        <is>
          <t>名古屋発と仮定。往路は新幹線（のぞみ＋はやぶさ指定席）片道20,930円、復路はANA/IBEX 前日までの割引運賃30,610円で計上。28日前までの割引なら17,210円、普通運賃は33,710〜34,710円。空港までのアクセス費は含まず。往路を空路にした場合は差し替え</t>
        </is>
      </c>
    </row>
    <row r="12">
      <c r="A12" s="5" t="n">
        <v>7</v>
      </c>
      <c r="B12" s="6" t="inlineStr">
        <is>
          <t>田中さん</t>
        </is>
      </c>
      <c r="C12" s="6" t="inlineStr">
        <is>
          <t>参加</t>
        </is>
      </c>
      <c r="D12" s="5" t="inlineStr">
        <is>
          <t>宿泊費</t>
        </is>
      </c>
      <c r="E12" s="6" t="inlineStr">
        <is>
          <t>仙台市内（10/30〜）</t>
        </is>
      </c>
      <c r="F12" s="6" t="inlineStr">
        <is>
          <t>10/30〜</t>
        </is>
      </c>
      <c r="G12" s="8" t="n"/>
      <c r="H12" s="5" t="inlineStr">
        <is>
          <t>未定</t>
        </is>
      </c>
      <c r="I12" s="5" t="inlineStr">
        <is>
          <t>未</t>
        </is>
      </c>
      <c r="J12" s="6" t="inlineStr">
        <is>
          <t>2026/10/03 Re: 仙台での合同研究会への補助について</t>
        </is>
      </c>
      <c r="K12" s="6" t="inlineStr">
        <is>
          <t>泊数・金額の記載なし</t>
        </is>
      </c>
    </row>
    <row r="13">
      <c r="A13" s="5" t="n">
        <v>8</v>
      </c>
      <c r="B13" s="6" t="inlineStr">
        <is>
          <t>加藤</t>
        </is>
      </c>
      <c r="C13" s="6" t="inlineStr">
        <is>
          <t>会計</t>
        </is>
      </c>
      <c r="D13" s="5" t="inlineStr">
        <is>
          <t>交通費</t>
        </is>
      </c>
      <c r="E13" s="6" t="inlineStr">
        <is>
          <t>新幹線 名古屋⇔仙台 往復（のぞみ＋はやぶさ指定席）</t>
        </is>
      </c>
      <c r="F13" s="6" t="inlineStr">
        <is>
          <t>10/31〜11/1</t>
        </is>
      </c>
      <c r="G13" s="7">
        <f>20930*2</f>
        <v/>
      </c>
      <c r="H13" s="5" t="inlineStr">
        <is>
          <t>概算</t>
        </is>
      </c>
      <c r="I13" s="5" t="inlineStr">
        <is>
          <t>未</t>
        </is>
      </c>
      <c r="J13" s="6" t="inlineStr">
        <is>
          <t>本人申告（2026/10/03）</t>
        </is>
      </c>
      <c r="K13" s="6" t="inlineStr">
        <is>
          <t>乗車券10,560円＋特急券10,370円＝片道20,930円×2（駅探調べ）。往復割引は廃止。領収書の額で上書き</t>
        </is>
      </c>
    </row>
    <row r="14">
      <c r="A14" s="5" t="n">
        <v>9</v>
      </c>
      <c r="B14" s="6" t="inlineStr">
        <is>
          <t>加藤</t>
        </is>
      </c>
      <c r="C14" s="6" t="inlineStr">
        <is>
          <t>会計</t>
        </is>
      </c>
      <c r="D14" s="5" t="inlineStr">
        <is>
          <t>宿泊費</t>
        </is>
      </c>
      <c r="E14" s="6" t="inlineStr">
        <is>
          <t>仙台市内（予約済み）</t>
        </is>
      </c>
      <c r="F14" s="6" t="inlineStr"/>
      <c r="G14" s="8" t="n"/>
      <c r="H14" s="5" t="inlineStr">
        <is>
          <t>未定</t>
        </is>
      </c>
      <c r="I14" s="5" t="inlineStr">
        <is>
          <t>未</t>
        </is>
      </c>
      <c r="J14" s="6" t="inlineStr">
        <is>
          <t>2026/09/14・09/26 浅野支部長宛メール</t>
        </is>
      </c>
      <c r="K14" s="6" t="inlineStr">
        <is>
          <t>楽天トラベルで1万4千円クラスとの記載あり。確定額を入力</t>
        </is>
      </c>
    </row>
    <row r="15">
      <c r="A15" s="9" t="n"/>
      <c r="B15" s="9" t="n"/>
      <c r="C15" s="9" t="n"/>
      <c r="D15" s="9" t="n"/>
      <c r="E15" s="9" t="n"/>
      <c r="F15" s="10" t="inlineStr">
        <is>
          <t>合計</t>
        </is>
      </c>
      <c r="G15" s="11">
        <f>SUM(G6:G14)</f>
        <v/>
      </c>
      <c r="H15" s="9" t="n"/>
      <c r="I15" s="9" t="n"/>
      <c r="J15" s="9" t="n"/>
      <c r="K15" s="9" t="n"/>
    </row>
    <row r="16">
      <c r="F16" s="2" t="inlineStr">
        <is>
          <t>未確定件数</t>
        </is>
      </c>
      <c r="G16" s="2">
        <f>COUNTBLANK(G6:G14)&amp;"件"</f>
        <v/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参加者別 集計</t>
        </is>
      </c>
    </row>
    <row r="3">
      <c r="A3" s="12" t="inlineStr">
        <is>
          <t>氏名</t>
        </is>
      </c>
      <c r="B3" s="12" t="inlineStr">
        <is>
          <t>交通費</t>
        </is>
      </c>
      <c r="C3" s="12" t="inlineStr">
        <is>
          <t>宿泊費</t>
        </is>
      </c>
      <c r="D3" s="12" t="inlineStr">
        <is>
          <t>手土産代</t>
        </is>
      </c>
      <c r="E3" s="12" t="inlineStr">
        <is>
          <t>小計</t>
        </is>
      </c>
      <c r="F3" s="12" t="inlineStr">
        <is>
          <t>補助方針</t>
        </is>
      </c>
    </row>
    <row r="4">
      <c r="A4" s="13" t="inlineStr">
        <is>
          <t>速水さん</t>
        </is>
      </c>
      <c r="B4" s="14">
        <f>SUMIFS(精算一覧!$G$6:$G$14,精算一覧!$B$6:$B$14,$A4,精算一覧!$D$6:$D$14,"交通費")</f>
        <v/>
      </c>
      <c r="C4" s="14">
        <f>SUMIFS(精算一覧!$G$6:$G$14,精算一覧!$B$6:$B$14,$A4,精算一覧!$D$6:$D$14,"宿泊費")</f>
        <v/>
      </c>
      <c r="D4" s="14">
        <f>SUMIFS(精算一覧!$G$6:$G$14,精算一覧!$B$6:$B$14,$A4,精算一覧!$D$6:$D$14,"手土産代")</f>
        <v/>
      </c>
      <c r="E4" s="14">
        <f>SUM(B4:D4)</f>
        <v/>
      </c>
      <c r="F4" s="13" t="inlineStr">
        <is>
          <t>交通費・宿泊費・手土産代 全額補助（講師）</t>
        </is>
      </c>
    </row>
    <row r="5">
      <c r="A5" s="13" t="inlineStr">
        <is>
          <t>栗山さん</t>
        </is>
      </c>
      <c r="B5" s="14">
        <f>SUMIFS(精算一覧!$G$6:$G$14,精算一覧!$B$6:$B$14,$A5,精算一覧!$D$6:$D$14,"交通費")</f>
        <v/>
      </c>
      <c r="C5" s="14">
        <f>SUMIFS(精算一覧!$G$6:$G$14,精算一覧!$B$6:$B$14,$A5,精算一覧!$D$6:$D$14,"宿泊費")</f>
        <v/>
      </c>
      <c r="D5" s="14">
        <f>SUMIFS(精算一覧!$G$6:$G$14,精算一覧!$B$6:$B$14,$A5,精算一覧!$D$6:$D$14,"手土産代")</f>
        <v/>
      </c>
      <c r="E5" s="14">
        <f>SUM(B5:D5)</f>
        <v/>
      </c>
      <c r="F5" s="13" t="inlineStr">
        <is>
          <t>東京⇔仙台 新幹線代のみ</t>
        </is>
      </c>
    </row>
    <row r="6">
      <c r="A6" s="13" t="inlineStr">
        <is>
          <t>田中さん</t>
        </is>
      </c>
      <c r="B6" s="14">
        <f>SUMIFS(精算一覧!$G$6:$G$14,精算一覧!$B$6:$B$14,$A6,精算一覧!$D$6:$D$14,"交通費")</f>
        <v/>
      </c>
      <c r="C6" s="14">
        <f>SUMIFS(精算一覧!$G$6:$G$14,精算一覧!$B$6:$B$14,$A6,精算一覧!$D$6:$D$14,"宿泊費")</f>
        <v/>
      </c>
      <c r="D6" s="14">
        <f>SUMIFS(精算一覧!$G$6:$G$14,精算一覧!$B$6:$B$14,$A6,精算一覧!$D$6:$D$14,"手土産代")</f>
        <v/>
      </c>
      <c r="E6" s="14">
        <f>SUM(B6:D6)</f>
        <v/>
      </c>
      <c r="F6" s="13" t="inlineStr">
        <is>
          <t>支部として出せる範囲で補助</t>
        </is>
      </c>
    </row>
    <row r="7">
      <c r="A7" s="13" t="inlineStr">
        <is>
          <t>加藤</t>
        </is>
      </c>
      <c r="B7" s="14">
        <f>SUMIFS(精算一覧!$G$6:$G$14,精算一覧!$B$6:$B$14,$A7,精算一覧!$D$6:$D$14,"交通費")</f>
        <v/>
      </c>
      <c r="C7" s="14">
        <f>SUMIFS(精算一覧!$G$6:$G$14,精算一覧!$B$6:$B$14,$A7,精算一覧!$D$6:$D$14,"宿泊費")</f>
        <v/>
      </c>
      <c r="D7" s="14">
        <f>SUMIFS(精算一覧!$G$6:$G$14,精算一覧!$B$6:$B$14,$A7,精算一覧!$D$6:$D$14,"手土産代")</f>
        <v/>
      </c>
      <c r="E7" s="14">
        <f>SUM(B7:D7)</f>
        <v/>
      </c>
      <c r="F7" s="13" t="inlineStr">
        <is>
          <t>支部として出せる範囲で補助</t>
        </is>
      </c>
    </row>
    <row r="8">
      <c r="A8" s="15" t="inlineStr">
        <is>
          <t>合計</t>
        </is>
      </c>
      <c r="B8" s="16">
        <f>SUM(B4:B7)</f>
        <v/>
      </c>
      <c r="C8" s="16">
        <f>SUM(C4:C7)</f>
        <v/>
      </c>
      <c r="D8" s="16">
        <f>SUM(D4:D7)</f>
        <v/>
      </c>
      <c r="E8" s="16">
        <f>SUM(E4:E7)</f>
        <v/>
      </c>
      <c r="F8" s="15" t="n"/>
    </row>
    <row r="10">
      <c r="A10" s="17" t="inlineStr">
        <is>
          <t>予算</t>
        </is>
      </c>
      <c r="B10" s="18" t="n">
        <v>150000</v>
      </c>
    </row>
    <row r="11">
      <c r="A11" s="17" t="inlineStr">
        <is>
          <t>合計（精算一覧と一致確認）</t>
        </is>
      </c>
      <c r="B11" s="14">
        <f>精算一覧!G15</f>
        <v/>
      </c>
    </row>
    <row r="12">
      <c r="A12" s="17" t="inlineStr">
        <is>
          <t>予算残額（マイナス＝超過）</t>
        </is>
      </c>
      <c r="B12" s="14">
        <f>B10-E8</f>
        <v/>
      </c>
    </row>
    <row r="14">
      <c r="A14" s="3" t="inlineStr">
        <is>
          <t>※未確定の金額は0円として計算されています。精算一覧の黄色セルを入力すると自動で更新されます。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補助方針・出典メモ</t>
        </is>
      </c>
    </row>
    <row r="3">
      <c r="A3" s="17" t="inlineStr">
        <is>
          <t>予算</t>
        </is>
      </c>
      <c r="B3" s="19" t="inlineStr">
        <is>
          <t>全体で15万円＋アルファ（2026年に科目変更あり）</t>
        </is>
      </c>
    </row>
    <row r="4">
      <c r="A4" s="17" t="inlineStr">
        <is>
          <t>補助方針（速水さん）</t>
        </is>
      </c>
      <c r="B4" s="19" t="inlineStr">
        <is>
          <t>講師のため交通費・宿泊費・手土産代を全額補助（9/14 浅野支部長、10/2 加藤メール）</t>
        </is>
      </c>
    </row>
    <row r="5">
      <c r="A5" s="17" t="inlineStr">
        <is>
          <t>補助方針（その他）</t>
        </is>
      </c>
      <c r="B5" s="19" t="inlineStr">
        <is>
          <t>栗山さん・田中さん・加藤は、予算をある程度超えても支部として出せる範囲で補助（10/2 加藤メール、浅野支部長了承）</t>
        </is>
      </c>
    </row>
    <row r="6">
      <c r="A6" s="17" t="inlineStr">
        <is>
          <t>宿泊費の目安</t>
        </is>
      </c>
      <c r="B6" s="19" t="inlineStr">
        <is>
          <t>2万円以内を目安。超えても支部として補助（9/14 加藤→速水さん）</t>
        </is>
      </c>
    </row>
    <row r="7">
      <c r="A7" s="17" t="inlineStr">
        <is>
          <t>交通費の目安</t>
        </is>
      </c>
      <c r="B7" s="19" t="inlineStr">
        <is>
          <t>往復割引は廃止のため往復約4万円（9/14 原さん・加藤メール）</t>
        </is>
      </c>
    </row>
    <row r="8">
      <c r="A8" s="17" t="inlineStr">
        <is>
          <t>参加者</t>
        </is>
      </c>
      <c r="B8" s="19" t="inlineStr">
        <is>
          <t>加藤・田中さん・栗山さん・速水さんの4名（10/2 浅野支部長メール）</t>
        </is>
      </c>
    </row>
    <row r="9">
      <c r="A9" s="17" t="inlineStr">
        <is>
          <t>要確認</t>
        </is>
      </c>
      <c r="B9" s="19" t="inlineStr">
        <is>
          <t>楽天カード明細 9/25「ｼﾞｴｲｱ-ﾙﾆｼﾆﾎﾝ」10,380円・9,980円は仙台行きか不明のため一覧に含めていません</t>
        </is>
      </c>
    </row>
    <row r="10">
      <c r="A10" s="17" t="inlineStr">
        <is>
          <t>領収書</t>
        </is>
      </c>
      <c r="B10" s="19" t="inlineStr">
        <is>
          <t>交通費精算は領収書を忘れずに（8/24 中間会計報告）。立替払いの連絡期限は12/18</t>
        </is>
      </c>
    </row>
    <row r="11">
      <c r="A11" s="17" t="inlineStr">
        <is>
          <t>交通費の調べ方</t>
        </is>
      </c>
      <c r="B11" s="19" t="inlineStr">
        <is>
          <t>2026/10/03時点のWeb検索による概算：名古屋⇔仙台（駅探）、東京⇔仙台（tabiris 2026年版）、中部国際⇔仙台の航空運賃（ANA・エアトリ等）。精算時は領収書の金額で上書きしてください</t>
        </is>
      </c>
    </row>
    <row r="12">
      <c r="A12" s="17" t="inlineStr">
        <is>
          <t>出典メール①</t>
        </is>
      </c>
      <c r="B12" s="19" t="inlineStr">
        <is>
          <t>2026/09/13〜14「SAAJ支部合同研究会2026について」</t>
        </is>
      </c>
    </row>
    <row r="13">
      <c r="A13" s="17" t="inlineStr">
        <is>
          <t>出典メール②</t>
        </is>
      </c>
      <c r="B13" s="19" t="inlineStr">
        <is>
          <t>2026/09/26「★ご連絡★SAAJ支部合同研究会への参加希望(栗山)」</t>
        </is>
      </c>
    </row>
    <row r="14">
      <c r="A14" s="17" t="inlineStr">
        <is>
          <t>出典メール③</t>
        </is>
      </c>
      <c r="B14" s="19" t="inlineStr">
        <is>
          <t>2026/09/26〜10/02「合同研究会の件について」（浅野支部長）</t>
        </is>
      </c>
    </row>
    <row r="15">
      <c r="A15" s="17" t="inlineStr">
        <is>
          <t>出典メール④</t>
        </is>
      </c>
      <c r="B15" s="19" t="inlineStr">
        <is>
          <t>2026/10/02〜10/03「仙台での合同研究会への補助について」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2026-10-03T22:48:59Z</dcterms:created>
  <dcterms:modified xsi:type="dcterms:W3CDTF">2026-10-03T22:48:59Z</dcterms:modified>
</cp:coreProperties>
</file>